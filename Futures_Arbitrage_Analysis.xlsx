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uska\Downloads\"/>
    </mc:Choice>
  </mc:AlternateContent>
  <xr:revisionPtr revIDLastSave="0" documentId="13_ncr:1_{A000100E-3430-40A2-8E11-F32613619509}" xr6:coauthVersionLast="47" xr6:coauthVersionMax="47" xr10:uidLastSave="{00000000-0000-0000-0000-000000000000}"/>
  <bookViews>
    <workbookView xWindow="-108" yWindow="-108" windowWidth="23256" windowHeight="12456" xr2:uid="{1C8CFDA9-E6CB-A04C-BF4E-5C899AE395F6}"/>
  </bookViews>
  <sheets>
    <sheet name="Arbitrage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7" i="2" l="1"/>
  <c r="D36" i="2"/>
  <c r="D34" i="2"/>
  <c r="D12" i="2"/>
  <c r="D5" i="2"/>
  <c r="D7" i="2" s="1"/>
  <c r="D8" i="2" s="1"/>
  <c r="D11" i="2" s="1"/>
  <c r="D19" i="2" s="1"/>
</calcChain>
</file>

<file path=xl/sharedStrings.xml><?xml version="1.0" encoding="utf-8"?>
<sst xmlns="http://schemas.openxmlformats.org/spreadsheetml/2006/main" count="27" uniqueCount="25">
  <si>
    <t>cc</t>
  </si>
  <si>
    <t>Expiry</t>
  </si>
  <si>
    <t>Time</t>
  </si>
  <si>
    <t>Underlying Asset</t>
  </si>
  <si>
    <t>Dr Reddy's Lab</t>
  </si>
  <si>
    <t xml:space="preserve">Today </t>
  </si>
  <si>
    <t>No of days</t>
  </si>
  <si>
    <t>Assuming RFR</t>
  </si>
  <si>
    <t xml:space="preserve">Futures price </t>
  </si>
  <si>
    <t>Spot price</t>
  </si>
  <si>
    <t>Hence there is arbitrage</t>
  </si>
  <si>
    <t>Sell the futures contract</t>
  </si>
  <si>
    <t>Buy the Stock at Spot price</t>
  </si>
  <si>
    <t>Arbitrage profit</t>
  </si>
  <si>
    <t>Actual Future price</t>
  </si>
  <si>
    <t>time to expiry</t>
  </si>
  <si>
    <t>Assume RFR</t>
  </si>
  <si>
    <t>Expiry dAte</t>
  </si>
  <si>
    <t>Today</t>
  </si>
  <si>
    <t>Spotprice</t>
  </si>
  <si>
    <t>Futures  price</t>
  </si>
  <si>
    <t xml:space="preserve">Actual Futures price &gt;  model price </t>
  </si>
  <si>
    <t>Calculating implied RFR</t>
  </si>
  <si>
    <t>Hence Futures price is overpriced.</t>
  </si>
  <si>
    <t>Arbitrage process:-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</si>
</sst>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4" x14ac:knownFonts="1">
    <font>
      <sz val="12"/>
      <color theme="1"/>
      <name val="Aptos Narrow"/>
      <family val="2"/>
      <scheme val="minor"/>
    </font>
    <font>
      <sz val="22"/>
      <color theme="1"/>
      <name val="Aptos Narrow"/>
      <family val="2"/>
      <scheme val="minor"/>
    </font>
    <font>
      <sz val="22"/>
      <color rgb="FF0432FF"/>
      <name val="Aptos Narrow"/>
      <family val="2"/>
      <scheme val="minor"/>
    </font>
    <font>
      <b/>
      <sz val="2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2" fillId="3" borderId="0" xfId="0" applyFont="1" applyFill="1"/>
    <xf numFmtId="10" fontId="1" fillId="3" borderId="0" xfId="0" applyNumberFormat="1" applyFont="1" applyFill="1"/>
    <xf numFmtId="164" fontId="1" fillId="3" borderId="0" xfId="0" applyNumberFormat="1" applyFont="1" applyFill="1"/>
    <xf numFmtId="14" fontId="1" fillId="3" borderId="0" xfId="0" applyNumberFormat="1" applyFont="1" applyFill="1"/>
    <xf numFmtId="165" fontId="1" fillId="3" borderId="0" xfId="0" applyNumberFormat="1" applyFont="1" applyFill="1"/>
    <xf numFmtId="0" fontId="2" fillId="2" borderId="0" xfId="0" applyFont="1" applyFill="1"/>
    <xf numFmtId="10" fontId="2" fillId="3" borderId="0" xfId="0" applyNumberFormat="1" applyFont="1" applyFill="1"/>
    <xf numFmtId="0" fontId="3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653436</xdr:colOff>
      <xdr:row>3</xdr:row>
      <xdr:rowOff>30936</xdr:rowOff>
    </xdr:from>
    <xdr:to>
      <xdr:col>17</xdr:col>
      <xdr:colOff>225335</xdr:colOff>
      <xdr:row>24</xdr:row>
      <xdr:rowOff>284394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B1E94DB-7504-9D08-76E8-FB67C92885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22551" y="1129974"/>
          <a:ext cx="9419284" cy="7946728"/>
        </a:xfrm>
        <a:prstGeom prst="rect">
          <a:avLst/>
        </a:prstGeom>
      </xdr:spPr>
    </xdr:pic>
    <xdr:clientData/>
  </xdr:twoCellAnchor>
  <xdr:twoCellAnchor editAs="oneCell">
    <xdr:from>
      <xdr:col>4</xdr:col>
      <xdr:colOff>465338</xdr:colOff>
      <xdr:row>28</xdr:row>
      <xdr:rowOff>13861</xdr:rowOff>
    </xdr:from>
    <xdr:to>
      <xdr:col>17</xdr:col>
      <xdr:colOff>609739</xdr:colOff>
      <xdr:row>50</xdr:row>
      <xdr:rowOff>238459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F489D92-16C3-8572-2DF8-DDC40C438B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13838" y="10271553"/>
          <a:ext cx="10812401" cy="828421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6EAEF-E8FF-F04C-87A4-C6E2603E8312}">
  <dimension ref="C4:E37"/>
  <sheetViews>
    <sheetView tabSelected="1" topLeftCell="B1" zoomScale="52" zoomScaleNormal="163" workbookViewId="0">
      <selection activeCell="D22" sqref="D22"/>
    </sheetView>
  </sheetViews>
  <sheetFormatPr defaultColWidth="10.796875" defaultRowHeight="28.8" x14ac:dyDescent="0.55000000000000004"/>
  <cols>
    <col min="1" max="2" width="10.796875" style="1"/>
    <col min="3" max="3" width="46" style="1" customWidth="1"/>
    <col min="4" max="4" width="25" style="1" bestFit="1" customWidth="1"/>
    <col min="5" max="16384" width="10.796875" style="1"/>
  </cols>
  <sheetData>
    <row r="4" spans="3:5" x14ac:dyDescent="0.55000000000000004">
      <c r="C4" s="3" t="s">
        <v>3</v>
      </c>
      <c r="D4" s="2" t="s">
        <v>4</v>
      </c>
      <c r="E4" s="2"/>
    </row>
    <row r="5" spans="3:5" x14ac:dyDescent="0.55000000000000004">
      <c r="C5" s="2" t="s">
        <v>1</v>
      </c>
      <c r="D5" s="6">
        <f>DATE(2026,2,24)</f>
        <v>46077</v>
      </c>
      <c r="E5" s="2"/>
    </row>
    <row r="6" spans="3:5" x14ac:dyDescent="0.55000000000000004">
      <c r="C6" s="2" t="s">
        <v>5</v>
      </c>
      <c r="D6" s="6">
        <v>46049</v>
      </c>
      <c r="E6" s="2"/>
    </row>
    <row r="7" spans="3:5" x14ac:dyDescent="0.55000000000000004">
      <c r="C7" s="2" t="s">
        <v>6</v>
      </c>
      <c r="D7" s="2">
        <f>D5-D6</f>
        <v>28</v>
      </c>
      <c r="E7" s="2"/>
    </row>
    <row r="8" spans="3:5" x14ac:dyDescent="0.55000000000000004">
      <c r="C8" s="2" t="s">
        <v>2</v>
      </c>
      <c r="D8" s="2">
        <f>D7/365</f>
        <v>7.6712328767123292E-2</v>
      </c>
      <c r="E8" s="2"/>
    </row>
    <row r="9" spans="3:5" x14ac:dyDescent="0.55000000000000004">
      <c r="C9" s="2" t="s">
        <v>7</v>
      </c>
      <c r="D9" s="4">
        <v>8.4500000000000006E-2</v>
      </c>
      <c r="E9" s="2" t="s">
        <v>0</v>
      </c>
    </row>
    <row r="10" spans="3:5" x14ac:dyDescent="0.55000000000000004">
      <c r="C10" s="2" t="s">
        <v>9</v>
      </c>
      <c r="D10" s="5">
        <v>1237.5</v>
      </c>
      <c r="E10" s="2"/>
    </row>
    <row r="11" spans="3:5" x14ac:dyDescent="0.55000000000000004">
      <c r="C11" s="2" t="s">
        <v>8</v>
      </c>
      <c r="D11" s="7">
        <f>D10*EXP(D9*D8)</f>
        <v>1245.5477677359206</v>
      </c>
      <c r="E11" s="2"/>
    </row>
    <row r="12" spans="3:5" x14ac:dyDescent="0.55000000000000004">
      <c r="C12" s="2" t="s">
        <v>14</v>
      </c>
      <c r="D12" s="7">
        <f>1245.6</f>
        <v>1245.5999999999999</v>
      </c>
      <c r="E12" s="2"/>
    </row>
    <row r="13" spans="3:5" x14ac:dyDescent="0.55000000000000004">
      <c r="C13" s="2" t="s">
        <v>21</v>
      </c>
      <c r="D13" s="2"/>
      <c r="E13" s="2"/>
    </row>
    <row r="14" spans="3:5" x14ac:dyDescent="0.55000000000000004">
      <c r="C14" s="2" t="s">
        <v>23</v>
      </c>
      <c r="D14" s="2"/>
      <c r="E14" s="2"/>
    </row>
    <row r="15" spans="3:5" x14ac:dyDescent="0.55000000000000004">
      <c r="C15" s="2" t="s">
        <v>10</v>
      </c>
      <c r="D15" s="2"/>
      <c r="E15" s="2"/>
    </row>
    <row r="16" spans="3:5" x14ac:dyDescent="0.55000000000000004">
      <c r="C16" s="2" t="s">
        <v>24</v>
      </c>
      <c r="D16" s="2"/>
      <c r="E16" s="2"/>
    </row>
    <row r="17" spans="3:5" x14ac:dyDescent="0.55000000000000004">
      <c r="C17" s="2" t="s">
        <v>11</v>
      </c>
      <c r="D17" s="2"/>
      <c r="E17" s="2"/>
    </row>
    <row r="18" spans="3:5" x14ac:dyDescent="0.55000000000000004">
      <c r="C18" s="2" t="s">
        <v>12</v>
      </c>
      <c r="D18" s="2"/>
      <c r="E18" s="2"/>
    </row>
    <row r="19" spans="3:5" x14ac:dyDescent="0.55000000000000004">
      <c r="C19" s="2" t="s">
        <v>13</v>
      </c>
      <c r="D19" s="2">
        <f>ABS(D12-D11)</f>
        <v>5.22322640792936E-2</v>
      </c>
      <c r="E19" s="2"/>
    </row>
    <row r="26" spans="3:5" x14ac:dyDescent="0.55000000000000004">
      <c r="D26" s="8"/>
    </row>
    <row r="29" spans="3:5" x14ac:dyDescent="0.55000000000000004">
      <c r="C29" s="10" t="s">
        <v>22</v>
      </c>
      <c r="D29" s="10"/>
    </row>
    <row r="30" spans="3:5" x14ac:dyDescent="0.55000000000000004">
      <c r="C30" s="2" t="s">
        <v>19</v>
      </c>
      <c r="D30" s="3">
        <v>922.8</v>
      </c>
    </row>
    <row r="31" spans="3:5" x14ac:dyDescent="0.55000000000000004">
      <c r="C31" s="2" t="s">
        <v>8</v>
      </c>
      <c r="D31" s="2">
        <v>934.85</v>
      </c>
    </row>
    <row r="32" spans="3:5" x14ac:dyDescent="0.55000000000000004">
      <c r="C32" s="2" t="s">
        <v>16</v>
      </c>
      <c r="D32" s="9">
        <v>7.6376605946544801E-2</v>
      </c>
    </row>
    <row r="33" spans="3:4" x14ac:dyDescent="0.55000000000000004">
      <c r="C33" s="2" t="s">
        <v>15</v>
      </c>
      <c r="D33" s="2"/>
    </row>
    <row r="34" spans="3:4" x14ac:dyDescent="0.55000000000000004">
      <c r="C34" s="2" t="s">
        <v>17</v>
      </c>
      <c r="D34" s="6">
        <f>DATE(2026,3,30)</f>
        <v>46111</v>
      </c>
    </row>
    <row r="35" spans="3:4" x14ac:dyDescent="0.55000000000000004">
      <c r="C35" s="2" t="s">
        <v>18</v>
      </c>
      <c r="D35" s="6">
        <v>46049</v>
      </c>
    </row>
    <row r="36" spans="3:4" x14ac:dyDescent="0.55000000000000004">
      <c r="C36" s="2" t="s">
        <v>15</v>
      </c>
      <c r="D36" s="3">
        <f>(D34-D35)/365</f>
        <v>0.16986301369863013</v>
      </c>
    </row>
    <row r="37" spans="3:4" x14ac:dyDescent="0.55000000000000004">
      <c r="C37" s="2" t="s">
        <v>20</v>
      </c>
      <c r="D37" s="3">
        <f>D30*EXP(D32*D36)</f>
        <v>934.84999827096522</v>
      </c>
    </row>
  </sheetData>
  <mergeCells count="1">
    <mergeCell ref="C29:D2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Arbitrage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VF-V Ravichandran</dc:creator>
  <cp:lastModifiedBy>Muskan Thacker</cp:lastModifiedBy>
  <dcterms:created xsi:type="dcterms:W3CDTF">2026-01-27T08:22:04Z</dcterms:created>
  <dcterms:modified xsi:type="dcterms:W3CDTF">2026-05-17T18:44:25Z</dcterms:modified>
</cp:coreProperties>
</file>